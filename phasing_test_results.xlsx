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xr:revisionPtr revIDLastSave="0" documentId="13_ncr:1_{DB355FDB-785B-495F-81DE-03DCD16BED28}" xr6:coauthVersionLast="47" xr6:coauthVersionMax="47" xr10:uidLastSave="{00000000-0000-0000-0000-000000000000}"/>
  <bookViews>
    <workbookView xWindow="-110" yWindow="-110" windowWidth="19420" windowHeight="11500" xr2:uid="{7478B479-AF50-45C6-AE6F-5267B297C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</calcChain>
</file>

<file path=xl/sharedStrings.xml><?xml version="1.0" encoding="utf-8"?>
<sst xmlns="http://schemas.openxmlformats.org/spreadsheetml/2006/main" count="16" uniqueCount="12">
  <si>
    <t>2dPP (deg)</t>
  </si>
  <si>
    <t>2dPP (fs)</t>
  </si>
  <si>
    <t>2dPP_new (deg)</t>
  </si>
  <si>
    <t>2dPP_new (fs)</t>
  </si>
  <si>
    <t>Grating</t>
  </si>
  <si>
    <t>-----</t>
  </si>
  <si>
    <t>Time (fs)</t>
  </si>
  <si>
    <t>T1 RANGE</t>
  </si>
  <si>
    <t>EXPECTED</t>
  </si>
  <si>
    <t>Intrinsic (rad)</t>
  </si>
  <si>
    <t>2dPP (rad)</t>
  </si>
  <si>
    <t>2dPP_new 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</si>
</sst>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6DDC-3F1A-4B25-AD62-CAE685A6D579}">
  <dimension ref="A1:M18"/>
  <sheetViews>
    <sheetView tabSelected="1" zoomScale="126" workbookViewId="0">
      <selection activeCell="N7" sqref="N7"/>
    </sheetView>
  </sheetViews>
  <sheetFormatPr defaultRowHeight="14.5" x14ac:dyDescent="0.35"/>
  <cols>
    <col min="1" max="1" width="6.90625" style="1" bestFit="1" customWidth="1"/>
    <col min="2" max="2" width="9" style="1" bestFit="1" customWidth="1"/>
    <col min="3" max="3" width="8.1796875" style="1" bestFit="1" customWidth="1"/>
    <col min="4" max="4" width="12.54296875" style="1" bestFit="1" customWidth="1"/>
    <col min="5" max="5" width="9.7265625" style="1" bestFit="1" customWidth="1"/>
    <col min="6" max="6" width="14.08984375" style="1" bestFit="1" customWidth="1"/>
    <col min="7" max="7" width="8.26953125" style="1" bestFit="1" customWidth="1"/>
    <col min="8" max="8" width="12.54296875" style="1" bestFit="1" customWidth="1"/>
    <col min="9" max="16384" width="8.7265625" style="1"/>
  </cols>
  <sheetData>
    <row r="1" spans="1:13" s="3" customFormat="1" x14ac:dyDescent="0.35">
      <c r="A1" s="3" t="s">
        <v>4</v>
      </c>
      <c r="B1" s="3" t="s">
        <v>7</v>
      </c>
      <c r="C1" s="3" t="s">
        <v>6</v>
      </c>
      <c r="D1" s="3" t="s">
        <v>9</v>
      </c>
      <c r="E1" s="3" t="s">
        <v>0</v>
      </c>
      <c r="F1" s="3" t="s">
        <v>2</v>
      </c>
      <c r="G1" s="3" t="s">
        <v>1</v>
      </c>
      <c r="H1" s="3" t="s">
        <v>3</v>
      </c>
      <c r="I1" s="3" t="s">
        <v>8</v>
      </c>
      <c r="K1" s="3" t="s">
        <v>8</v>
      </c>
      <c r="L1" s="3" t="s">
        <v>10</v>
      </c>
      <c r="M1" s="3" t="s">
        <v>11</v>
      </c>
    </row>
    <row r="2" spans="1:13" x14ac:dyDescent="0.35">
      <c r="A2" s="1">
        <v>50</v>
      </c>
      <c r="B2" s="1">
        <v>5000</v>
      </c>
      <c r="C2" s="1">
        <v>0</v>
      </c>
      <c r="D2" s="1">
        <v>6.3367810000000002</v>
      </c>
      <c r="E2" s="1">
        <v>149.9178</v>
      </c>
      <c r="F2" s="1">
        <v>152.7056</v>
      </c>
      <c r="G2" s="1">
        <v>-11.5</v>
      </c>
      <c r="H2" s="1">
        <v>-3.2</v>
      </c>
      <c r="I2" s="1">
        <f>2*3.14159*0.000029979*2340*C2</f>
        <v>0</v>
      </c>
      <c r="K2" s="1">
        <v>0</v>
      </c>
      <c r="L2" s="1">
        <f>E2/(180*3.14159)</f>
        <v>0.26511310090325813</v>
      </c>
      <c r="M2" s="1">
        <f>F2/(180*3.14159)</f>
        <v>0.27004301784906515</v>
      </c>
    </row>
    <row r="3" spans="1:13" x14ac:dyDescent="0.35">
      <c r="A3" s="1">
        <v>50</v>
      </c>
      <c r="B3" s="1">
        <v>5000</v>
      </c>
      <c r="C3" s="1">
        <v>2.11</v>
      </c>
      <c r="D3" s="1">
        <v>5.9732120000000002</v>
      </c>
      <c r="E3" s="1">
        <v>-157.36840000000001</v>
      </c>
      <c r="F3" s="1">
        <v>-154.18559999999999</v>
      </c>
      <c r="G3" s="1">
        <v>-8.6</v>
      </c>
      <c r="H3" s="1">
        <v>-1.1000000000000001</v>
      </c>
      <c r="I3" s="1">
        <f t="shared" ref="I3:I18" si="0">2*3.14159*0.000029979*2340*C3</f>
        <v>0.93002571392842781</v>
      </c>
      <c r="K3" s="1">
        <v>0.93002571392842781</v>
      </c>
      <c r="L3" s="1">
        <f t="shared" ref="L3:L18" si="1">E3/(180*3.14159)</f>
        <v>-0.27828866557663129</v>
      </c>
      <c r="M3" s="1">
        <f t="shared" ref="M3:M18" si="2">F3/(180*3.14159)</f>
        <v>-0.27266023467946698</v>
      </c>
    </row>
    <row r="4" spans="1:13" x14ac:dyDescent="0.35">
      <c r="A4" s="1">
        <v>50</v>
      </c>
      <c r="B4" s="1">
        <v>5000</v>
      </c>
      <c r="C4" s="1">
        <v>4.22</v>
      </c>
      <c r="D4" s="1">
        <v>5.448887</v>
      </c>
      <c r="E4" s="1">
        <v>-104.6597</v>
      </c>
      <c r="F4" s="1">
        <v>-101.9851</v>
      </c>
      <c r="G4" s="1">
        <v>-8.3000000000000007</v>
      </c>
      <c r="H4" s="1">
        <v>0.7</v>
      </c>
      <c r="I4" s="1">
        <f t="shared" si="0"/>
        <v>1.8600514278568556</v>
      </c>
      <c r="K4" s="1">
        <v>1.8600514278568556</v>
      </c>
      <c r="L4" s="1">
        <f t="shared" si="1"/>
        <v>-0.18507914074649393</v>
      </c>
      <c r="M4" s="1">
        <f t="shared" si="2"/>
        <v>-0.18034940552041767</v>
      </c>
    </row>
    <row r="5" spans="1:13" x14ac:dyDescent="0.35">
      <c r="A5" s="1">
        <v>50</v>
      </c>
      <c r="B5" s="1">
        <v>5000</v>
      </c>
      <c r="C5" s="1">
        <v>6.33</v>
      </c>
      <c r="D5" s="1">
        <v>6.1596250000000001</v>
      </c>
      <c r="E5" s="1">
        <v>-66.627300000000005</v>
      </c>
      <c r="F5" s="1">
        <v>-63.722700000000003</v>
      </c>
      <c r="G5" s="1">
        <v>-5.5</v>
      </c>
      <c r="H5" s="1">
        <v>2.4</v>
      </c>
      <c r="I5" s="1">
        <f t="shared" si="0"/>
        <v>2.7900771417852837</v>
      </c>
      <c r="K5" s="1">
        <v>2.7900771417852837</v>
      </c>
      <c r="L5" s="1">
        <f t="shared" si="1"/>
        <v>-0.11782303440826675</v>
      </c>
      <c r="M5" s="1">
        <f t="shared" si="2"/>
        <v>-0.11268656953962804</v>
      </c>
    </row>
    <row r="6" spans="1:13" x14ac:dyDescent="0.35">
      <c r="A6" s="1">
        <v>50</v>
      </c>
      <c r="B6" s="1">
        <v>5000</v>
      </c>
      <c r="C6" s="1">
        <v>8.44</v>
      </c>
      <c r="D6" s="1">
        <v>5.5237040000000004</v>
      </c>
      <c r="E6" s="1">
        <v>-55.167299999999997</v>
      </c>
      <c r="F6" s="1">
        <v>-52.268599999999999</v>
      </c>
      <c r="G6" s="1">
        <v>-5.4</v>
      </c>
      <c r="H6" s="1">
        <v>3</v>
      </c>
      <c r="I6" s="1">
        <f t="shared" si="0"/>
        <v>3.7201028557137112</v>
      </c>
      <c r="K6" s="1">
        <v>3.7201028557137112</v>
      </c>
      <c r="L6" s="1">
        <f t="shared" si="1"/>
        <v>-9.7557287870154927E-2</v>
      </c>
      <c r="M6" s="1">
        <f t="shared" si="2"/>
        <v>-9.2431256501042822E-2</v>
      </c>
    </row>
    <row r="7" spans="1:13" x14ac:dyDescent="0.35">
      <c r="A7" s="1">
        <v>50</v>
      </c>
      <c r="B7" s="1">
        <v>5000</v>
      </c>
      <c r="C7" s="1">
        <v>10.55</v>
      </c>
      <c r="D7" s="1">
        <v>5.2830859999999999</v>
      </c>
      <c r="E7" s="1">
        <v>-6.1818999999999997</v>
      </c>
      <c r="F7" s="1">
        <v>-3.5036</v>
      </c>
      <c r="G7" s="1">
        <v>-3.7</v>
      </c>
      <c r="H7" s="1">
        <v>5.0999999999999996</v>
      </c>
      <c r="I7" s="1">
        <f t="shared" si="0"/>
        <v>4.6501285696421402</v>
      </c>
      <c r="K7" s="1">
        <v>4.6501285696421402</v>
      </c>
      <c r="L7" s="1">
        <f t="shared" si="1"/>
        <v>-1.0932008597203611E-2</v>
      </c>
      <c r="M7" s="1">
        <f t="shared" si="2"/>
        <v>-6.1957303290513547E-3</v>
      </c>
    </row>
    <row r="8" spans="1:13" x14ac:dyDescent="0.35">
      <c r="A8" s="1">
        <v>50</v>
      </c>
      <c r="B8" s="1">
        <v>5000</v>
      </c>
      <c r="C8" s="1">
        <v>12.66</v>
      </c>
      <c r="D8" s="1">
        <v>5.8783960000000004</v>
      </c>
      <c r="E8" s="1">
        <v>56.974600000000002</v>
      </c>
      <c r="F8" s="1">
        <v>59.657400000000003</v>
      </c>
      <c r="G8" s="1">
        <v>-1.9</v>
      </c>
      <c r="H8" s="1">
        <v>7.5</v>
      </c>
      <c r="I8" s="1">
        <f t="shared" si="0"/>
        <v>5.5801542835705673</v>
      </c>
      <c r="K8" s="1">
        <v>5.5801542835705673</v>
      </c>
      <c r="L8" s="1">
        <f t="shared" si="1"/>
        <v>0.10075329866582068</v>
      </c>
      <c r="M8" s="1">
        <f t="shared" si="2"/>
        <v>0.10549753468784916</v>
      </c>
    </row>
    <row r="9" spans="1:13" x14ac:dyDescent="0.35">
      <c r="A9" s="1">
        <v>50</v>
      </c>
      <c r="B9" s="1">
        <v>5000</v>
      </c>
      <c r="C9" s="1">
        <v>14.77</v>
      </c>
      <c r="D9" s="1">
        <v>4.694115</v>
      </c>
      <c r="E9" s="1">
        <v>110.5643</v>
      </c>
      <c r="F9" s="1">
        <v>113.59910000000001</v>
      </c>
      <c r="G9" s="1">
        <v>-1.5</v>
      </c>
      <c r="H9" s="1">
        <v>9.4</v>
      </c>
      <c r="I9" s="1">
        <f t="shared" si="0"/>
        <v>6.5101799974989953</v>
      </c>
      <c r="K9" s="1">
        <v>6.5101799974989953</v>
      </c>
      <c r="L9" s="1">
        <f t="shared" si="1"/>
        <v>0.19552077486594724</v>
      </c>
      <c r="M9" s="1">
        <f t="shared" si="2"/>
        <v>0.20088748408007132</v>
      </c>
    </row>
    <row r="10" spans="1:13" x14ac:dyDescent="0.35">
      <c r="A10" s="1">
        <v>150</v>
      </c>
      <c r="B10" s="1">
        <v>5000</v>
      </c>
      <c r="C10" s="1">
        <v>0</v>
      </c>
      <c r="D10" s="1">
        <v>10.539332</v>
      </c>
      <c r="E10" s="1">
        <v>119.3278</v>
      </c>
      <c r="F10" s="1">
        <v>122.8605</v>
      </c>
      <c r="G10" s="1">
        <v>-19.5</v>
      </c>
      <c r="H10" s="1">
        <v>-4.5</v>
      </c>
      <c r="I10" s="1">
        <f t="shared" si="0"/>
        <v>0</v>
      </c>
      <c r="K10" s="1">
        <v>0</v>
      </c>
      <c r="L10" s="1">
        <f t="shared" si="1"/>
        <v>0.21101805844245183</v>
      </c>
      <c r="M10" s="1">
        <f t="shared" si="2"/>
        <v>0.21726524891323609</v>
      </c>
    </row>
    <row r="11" spans="1:13" x14ac:dyDescent="0.35">
      <c r="A11" s="1">
        <v>150</v>
      </c>
      <c r="B11" s="1">
        <v>5000</v>
      </c>
      <c r="C11" s="1">
        <v>2.11</v>
      </c>
      <c r="D11" s="1">
        <v>9.3102900000000002</v>
      </c>
      <c r="E11" s="1">
        <v>-164.36279999999999</v>
      </c>
      <c r="F11" s="1">
        <v>-161.96260000000001</v>
      </c>
      <c r="G11" s="1">
        <v>-18.600000000000001</v>
      </c>
      <c r="H11" s="1">
        <v>-2.1</v>
      </c>
      <c r="I11" s="1">
        <f t="shared" si="0"/>
        <v>0.93002571392842781</v>
      </c>
      <c r="K11" s="1">
        <v>0.93002571392842781</v>
      </c>
      <c r="L11" s="1">
        <f t="shared" si="1"/>
        <v>-0.29065749084593046</v>
      </c>
      <c r="M11" s="1">
        <f t="shared" si="2"/>
        <v>-0.28641300176732876</v>
      </c>
    </row>
    <row r="12" spans="1:13" x14ac:dyDescent="0.35">
      <c r="A12" s="1">
        <v>150</v>
      </c>
      <c r="B12" s="1">
        <v>5000</v>
      </c>
      <c r="C12" s="1">
        <v>4.22</v>
      </c>
      <c r="D12" s="1">
        <v>9.444115</v>
      </c>
      <c r="E12" s="1">
        <v>-114.6849</v>
      </c>
      <c r="F12" s="1">
        <v>-112.4402</v>
      </c>
      <c r="G12" s="1">
        <v>-17.600000000000001</v>
      </c>
      <c r="H12" s="1">
        <v>-0.1</v>
      </c>
      <c r="I12" s="1">
        <f t="shared" si="0"/>
        <v>1.8600514278568556</v>
      </c>
      <c r="K12" s="1">
        <v>1.8600514278568556</v>
      </c>
      <c r="L12" s="1">
        <f t="shared" si="1"/>
        <v>-0.20280760167091613</v>
      </c>
      <c r="M12" s="1">
        <f t="shared" si="2"/>
        <v>-0.19883809719848161</v>
      </c>
    </row>
    <row r="13" spans="1:13" x14ac:dyDescent="0.35">
      <c r="A13" s="1">
        <v>150</v>
      </c>
      <c r="B13" s="1">
        <v>5000</v>
      </c>
      <c r="C13" s="1">
        <v>6.33</v>
      </c>
      <c r="D13" s="1">
        <v>9.3527199999999997</v>
      </c>
      <c r="E13" s="1">
        <v>-63.531799999999997</v>
      </c>
      <c r="F13" s="1">
        <v>-61.21</v>
      </c>
      <c r="G13" s="1">
        <v>-14.1</v>
      </c>
      <c r="H13" s="1">
        <v>2.5</v>
      </c>
      <c r="I13" s="1">
        <f t="shared" si="0"/>
        <v>2.7900771417852837</v>
      </c>
      <c r="K13" s="1">
        <v>2.7900771417852837</v>
      </c>
      <c r="L13" s="1">
        <f t="shared" si="1"/>
        <v>-0.11234898393630119</v>
      </c>
      <c r="M13" s="1">
        <f t="shared" si="2"/>
        <v>-0.10824313661412074</v>
      </c>
    </row>
    <row r="14" spans="1:13" x14ac:dyDescent="0.35">
      <c r="A14" s="1">
        <v>150</v>
      </c>
      <c r="B14" s="1">
        <v>5000</v>
      </c>
      <c r="C14" s="1">
        <v>8.44</v>
      </c>
      <c r="D14" s="1">
        <v>9.3490889999999993</v>
      </c>
      <c r="E14" s="1">
        <v>-12.4803</v>
      </c>
      <c r="F14" s="1">
        <v>-10.010400000000001</v>
      </c>
      <c r="G14" s="1">
        <v>-11.8</v>
      </c>
      <c r="H14" s="1">
        <v>4.3</v>
      </c>
      <c r="I14" s="1">
        <f t="shared" si="0"/>
        <v>3.7201028557137112</v>
      </c>
      <c r="K14" s="1">
        <v>3.7201028557137112</v>
      </c>
      <c r="L14" s="1">
        <f t="shared" si="1"/>
        <v>-2.2070034600313856E-2</v>
      </c>
      <c r="M14" s="1">
        <f t="shared" si="2"/>
        <v>-1.7702288756118189E-2</v>
      </c>
    </row>
    <row r="15" spans="1:13" x14ac:dyDescent="0.35">
      <c r="A15" s="1">
        <v>150</v>
      </c>
      <c r="B15" s="1">
        <v>5000</v>
      </c>
      <c r="C15" s="1">
        <v>10.55</v>
      </c>
      <c r="D15" s="1">
        <v>9.3921799999999998</v>
      </c>
      <c r="E15" s="1">
        <v>39.5077</v>
      </c>
      <c r="F15" s="1">
        <v>42.398899999999998</v>
      </c>
      <c r="G15" s="1">
        <v>-7.9</v>
      </c>
      <c r="H15" s="1">
        <v>6.2</v>
      </c>
      <c r="I15" s="1">
        <f t="shared" si="0"/>
        <v>4.6501285696421402</v>
      </c>
      <c r="K15" s="1">
        <v>4.6501285696421402</v>
      </c>
      <c r="L15" s="1">
        <f t="shared" si="1"/>
        <v>6.9865011736802776E-2</v>
      </c>
      <c r="M15" s="1">
        <f t="shared" si="2"/>
        <v>7.4977780182787848E-2</v>
      </c>
    </row>
    <row r="16" spans="1:13" x14ac:dyDescent="0.35">
      <c r="A16" s="1">
        <v>150</v>
      </c>
      <c r="B16" s="1">
        <v>5000</v>
      </c>
      <c r="C16" s="1">
        <v>12.66</v>
      </c>
      <c r="D16" s="1">
        <v>9.4527710000000003</v>
      </c>
      <c r="E16" s="1">
        <v>92.356999999999999</v>
      </c>
      <c r="F16" s="1">
        <v>95.648499999999999</v>
      </c>
      <c r="G16" s="1">
        <v>-6.3</v>
      </c>
      <c r="H16" s="1">
        <v>8.3000000000000007</v>
      </c>
      <c r="I16" s="1">
        <f t="shared" si="0"/>
        <v>5.5801542835705673</v>
      </c>
      <c r="K16" s="1">
        <v>5.5801542835705673</v>
      </c>
      <c r="L16" s="1">
        <f t="shared" si="1"/>
        <v>0.16332317216582828</v>
      </c>
      <c r="M16" s="1">
        <f t="shared" si="2"/>
        <v>0.16914382702884706</v>
      </c>
    </row>
    <row r="17" spans="1:13" x14ac:dyDescent="0.35">
      <c r="A17" s="1">
        <v>50</v>
      </c>
      <c r="B17" s="1">
        <v>10000</v>
      </c>
      <c r="C17" s="1">
        <v>0</v>
      </c>
      <c r="D17" s="2" t="s">
        <v>5</v>
      </c>
      <c r="E17" s="1">
        <v>108.6562</v>
      </c>
      <c r="F17" s="1">
        <v>110.9003</v>
      </c>
      <c r="G17" s="1">
        <v>-24.1</v>
      </c>
      <c r="H17" s="1">
        <v>-4.7</v>
      </c>
      <c r="I17" s="1">
        <f t="shared" si="0"/>
        <v>0</v>
      </c>
      <c r="K17" s="1">
        <v>0</v>
      </c>
      <c r="L17" s="1">
        <f t="shared" si="1"/>
        <v>0.19214651038345412</v>
      </c>
      <c r="M17" s="1">
        <f t="shared" si="2"/>
        <v>0.19611495382203847</v>
      </c>
    </row>
    <row r="18" spans="1:13" x14ac:dyDescent="0.35">
      <c r="A18" s="1">
        <v>50</v>
      </c>
      <c r="B18" s="1">
        <v>15000</v>
      </c>
      <c r="C18" s="1">
        <v>0</v>
      </c>
      <c r="D18" s="2" t="s">
        <v>5</v>
      </c>
      <c r="E18" s="2" t="s">
        <v>5</v>
      </c>
      <c r="F18" s="1">
        <v>191.7225</v>
      </c>
      <c r="G18" s="2" t="s">
        <v>5</v>
      </c>
      <c r="H18" s="1">
        <v>431.6</v>
      </c>
      <c r="I18" s="1">
        <f t="shared" si="0"/>
        <v>0</v>
      </c>
      <c r="K18" s="1">
        <v>0</v>
      </c>
      <c r="M18" s="1">
        <f t="shared" si="2"/>
        <v>0.33904010389643463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Wheat, Ryan Michael</dc:creator>
  <cp:lastModifiedBy>Wheat, Ryan Michael</cp:lastModifiedBy>
  <dcterms:created xsi:type="dcterms:W3CDTF">2026-05-04T19:24:33Z</dcterms:created>
  <dcterms:modified xsi:type="dcterms:W3CDTF">2026-06-17T20:19:11Z</dcterms:modified>
</cp:coreProperties>
</file>